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єстр" sheetId="1" state="visible" r:id="rId3"/>
    <sheet name="Розподіл розділів" sheetId="2" state="visible" r:id="rId4"/>
    <sheet name="Спірні" sheetId="3" state="visible" r:id="rId5"/>
  </sheets>
  <definedNames>
    <definedName function="false" hidden="true" localSheetId="0" name="_xlnm._FilterDatabase" vbProcedure="false">Реєстр!$A$1:$F$29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<sst xmlns="http://schemas.openxmlformats.org/spreadsheetml/2006/main" count="170" uniqueCount="134">
  <si>
    <t xml:space="preserve">№</t>
  </si>
  <si>
    <t xml:space="preserve">ID вимоги</t>
  </si>
  <si>
    <t xml:space="preserve">Критерій</t>
  </si>
  <si>
    <t xml:space="preserve">Опис дефекту</t>
  </si>
  <si>
    <t xml:space="preserve">Пропозиція виправлення</t>
  </si>
  <si>
    <t xml:space="preserve">Хто знайшов</t>
  </si>
  <si>
    <t xml:space="preserve">Знайдено</t>
  </si>
  <si>
    <t xml:space="preserve">Норматив</t>
  </si>
  <si>
    <t xml:space="preserve">Статус</t>
  </si>
  <si>
    <t xml:space="preserve">F-10</t>
  </si>
  <si>
    <t xml:space="preserve">Однозначність</t>
  </si>
  <si>
    <t xml:space="preserve">п. 5 чек-листа (єдина термінологія): блоки «Popular Make» і «Popular Model» не мають визначення популярності; не сказано, яку саме марку чи модель показано.</t>
  </si>
  <si>
    <t xml:space="preserve">«Popular Make — марка з найбільшою сумарною кількістю голосів; Popular Model — модель з найбільшою кількістю голосів; за рівності — перша за назвою за алфавітом без урахування регістру.» (потребує підтвердження замовником)</t>
  </si>
  <si>
    <t xml:space="preserve">GUI-20</t>
  </si>
  <si>
    <t xml:space="preserve">п. 4 (єдина інтерпретація): «поки форму не заповнено належним чином» — незрозуміло, чи йдеться лише про заповненість полів, чи й про коректність (збіг паролів, складність).</t>
  </si>
  <si>
    <t xml:space="preserve">«Кнопка «Register» неактивна, доки не заповнено всі поля форми; після заповнення всіх полів кнопка активна.»</t>
  </si>
  <si>
    <t xml:space="preserve">Повнота</t>
  </si>
  <si>
    <t xml:space="preserve">1.3, F-90, BL-10</t>
  </si>
  <si>
    <t xml:space="preserve">п. 5 (єдина термінологія): у 1.3 і BL-10 «голос» — це оцінка 1..5 і вага, а у F-90 — коментар і кнопка «Vote!»; замовник і розробники читатимуть термін по-різному.</t>
  </si>
  <si>
    <t xml:space="preserve">У 1.3: «Голос — дія зареєстрованого користувача на сторінці моделі: оцінка 1..5 з коментарем до 200 символів; вага голосу дорівнює репутації користувача 1..3.» (потребує підтвердження замовником щодо обов'язковості коментаря)</t>
  </si>
  <si>
    <t xml:space="preserve">Несуперечливість</t>
  </si>
  <si>
    <t xml:space="preserve">преамбула, 1.2</t>
  </si>
  <si>
    <t xml:space="preserve">п. 2 (усі необхідні вимоги присутні): функцію «Особистий кабінет і рейтинг тижня» названо основою нової версії, але в розділах 3–6 немає вимог на історію голосів і коментарів у кабінеті та на рейтинг тижня.</t>
  </si>
  <si>
    <t xml:space="preserve">Додати F-150: «Особистий кабінет показує історію голосів і коментарів користувача» та F-160: «Рейтинг тижня обчислюється за голосами останніх 7 днів за правилами BL-10 і BL-20». (потребує підтвердження замовником)</t>
  </si>
  <si>
    <t xml:space="preserve">Простежуваність</t>
  </si>
  <si>
    <t xml:space="preserve">1.3, BL-10</t>
  </si>
  <si>
    <t xml:space="preserve">п. 2: «Репутація користувача — ціле число 1..3» визначає вагу голосу, але жодна вимога не каже, як репутацію присвоюють і змінюють.</t>
  </si>
  <si>
    <t xml:space="preserve">Додати BL-90: правило присвоєння репутації 1..3 (початкове значення, умови зміни). (потребує підтвердження замовником)</t>
  </si>
  <si>
    <t xml:space="preserve">Здійсненність</t>
  </si>
  <si>
    <t xml:space="preserve">F-90, GUI-80</t>
  </si>
  <si>
    <t xml:space="preserve">п. 1 (повна інформація): форма голосування містить лише поле «Comment» і кнопку «Vote!», а BL-10 і BL-40 вимагають оцінку 1..5; де користувач її вибирає — не сказано.</t>
  </si>
  <si>
    <t xml:space="preserve">У F-90 і GUI-80: «Форма містить вибір оцінки 1..5; голос без вибраної оцінки не приймається.»</t>
  </si>
  <si>
    <t xml:space="preserve">Тестопридатність</t>
  </si>
  <si>
    <t xml:space="preserve">F-20, F-30</t>
  </si>
  <si>
    <t xml:space="preserve">п. 5 (реакції на помилки): перевірки реєстрації не описують реакцію на логін, який уже існує.</t>
  </si>
  <si>
    <t xml:space="preserve">Додати у F-30: «Якщо обліковий запис із таким «Login» уже існує, система показує повідомлення про помилку під формою й не створює запис.» (текст повідомлення — від замовника)</t>
  </si>
  <si>
    <t xml:space="preserve">Усього</t>
  </si>
  <si>
    <t xml:space="preserve">F-100</t>
  </si>
  <si>
    <t xml:space="preserve">п. 3 (немає посилань на неіснуючі джерела): «правило BL-35» — вимоги з таким ID немає, є BL-30.</t>
  </si>
  <si>
    <t xml:space="preserve">Замінити на: «…(правило BL-30)».</t>
  </si>
  <si>
    <t xml:space="preserve">D-10</t>
  </si>
  <si>
    <t xml:space="preserve">п. 3: «стандарт оформлення документації «АР-СТД-07»» не наведено в розділі 1.4 і додатках.</t>
  </si>
  <si>
    <t xml:space="preserve">Додати стандарт у розділ 1.4 з назвою й версією або замінити на «Довідка оформлюється за шаблоном замовника». (потребує підтвердження замовником)</t>
  </si>
  <si>
    <t xml:space="preserve">Норматив для команди з 5 осіб (розділ 6 завдання): ≥20 дефектів із 24 закладених і ≥2 на кожен із 6 критеріїв. Значення нормативу — вхідні дані зі завдання Спринту 2.</t>
  </si>
  <si>
    <t xml:space="preserve">BL-70</t>
  </si>
  <si>
    <t xml:space="preserve">п. 4 (усі допустимі вхідні дані): для sortByRating не описано порядок моделей з однаковим рейтингом (у BL-20 описано).</t>
  </si>
  <si>
    <t xml:space="preserve">«При рівних рейтингах моделі впорядковуються за повною назвою (марка + модель) за алфавітом без урахування регістру.»</t>
  </si>
  <si>
    <t xml:space="preserve">Жовті клітинки — для команди: у колонці «Хто знайшов» вказуйте лише тих, хто знайшов дефект самостійно в незалежному аудиті (за потреби двох). Рядки без підтвердження в аудиті — вилучайте.</t>
  </si>
  <si>
    <t xml:space="preserve">1.3, F-60</t>
  </si>
  <si>
    <t xml:space="preserve">п. 2: «ранг 1 має модель із найбільшою кількістю голосів» суперечить F-130 і BL-20, де ранг присвоюють за рейтингом.</t>
  </si>
  <si>
    <t xml:space="preserve">У 1.3 і F-60: «Ранг 1 має модель з найвищим рейтингом; при рівних рейтингах порядок — за BL-20.»</t>
  </si>
  <si>
    <t xml:space="preserve">Рядки 1–28 — перший прохід за SRS 1.0 для звірки з аркушами учасників; «потребує підтвердження замовником» — питання на демо.</t>
  </si>
  <si>
    <t xml:space="preserve">F-130, BL-20</t>
  </si>
  <si>
    <t xml:space="preserve">п. 2: F-130 вимагає «щонайменше 5 голосів», BL-20 — «лише з ≥3 голосами».</t>
  </si>
  <si>
    <t xml:space="preserve">У F-130: «…за умови мінімальної кількості голосів, визначеної у BL-20.»; у BL-20 залишити одне значення (5 або 3). (потребує підтвердження замовником)</t>
  </si>
  <si>
    <t xml:space="preserve">F-90, BL-50</t>
  </si>
  <si>
    <t xml:space="preserve">п. 2: F-90 — «система не приймає голос із порожнім полем «Comment»», BL-50 — «порожній коментар (або null) дозволено».</t>
  </si>
  <si>
    <t xml:space="preserve">У F-90: «Голос приймається з коментарем до 200 символів; порожній коментар дозволено (BL-50).» (потребує підтвердження замовником)</t>
  </si>
  <si>
    <t xml:space="preserve">F-140, GUI-60</t>
  </si>
  <si>
    <t xml:space="preserve">п. 2: F-140 — таблиці розбиваються «по 5 рядків», GUI-60 — «по 10 рядків».</t>
  </si>
  <si>
    <t xml:space="preserve">У GUI-60: «Розмір сторінки таблиці визначено у F-140.»; у F-140 залишити одне значення. (потребує підтвердження замовником)</t>
  </si>
  <si>
    <t xml:space="preserve">S-20</t>
  </si>
  <si>
    <t xml:space="preserve">п. 1 (частини вимоги не суперечать одна одній): «сеанс зберігається безстроково, доки користувач не натисне «Logout»» і водночас «після 30 хвилин неактивності сеанс автоматично завершується».</t>
  </si>
  <si>
    <t xml:space="preserve">«Сеанс триває до натискання «Logout» або до 30 хвилин неактивності, залежно від того, що настане раніше; після цього для голосування потрібен повторний вхід.»</t>
  </si>
  <si>
    <t xml:space="preserve">GUI-30, U-20</t>
  </si>
  <si>
    <t xml:space="preserve">п. 2: GUI-30 — повідомлення про помилку входу «зникає після наступної успішної спроби входу», U-20 — залишається видимим, «доки користувач не змінить значення поля або не оновить сторінку».</t>
  </si>
  <si>
    <t xml:space="preserve">Єдине правило в U-20: «Повідомлення про помилку форми зникає, коли користувач змінює значення поля, оновлює сторінку або успішно входить.»; у GUI-30 — посилання на U-20.</t>
  </si>
  <si>
    <t xml:space="preserve">GUI-40 (двічі)</t>
  </si>
  <si>
    <t xml:space="preserve">п. 2 (унікальний ідентифікатор): два різні рядки (поля реєстрації й поля профілю) мають однаковий ID «GUI-40».</t>
  </si>
  <si>
    <t xml:space="preserve">Другому рядку (поля профілю) присвоїти вільний ID «GUI-45»; ID інших вимог не змінювати.</t>
  </si>
  <si>
    <t xml:space="preserve">між S-10 і S-20</t>
  </si>
  <si>
    <t xml:space="preserve">п. 2: вимога «Паролі користувачів зберігаються лише у вигляді хешу…» не має ідентифікатора.</t>
  </si>
  <si>
    <t xml:space="preserve">Присвоїти ідентифікатор «S-15» (ID йдуть із кроком 10, вільне місце між S-10 і S-20).</t>
  </si>
  <si>
    <t xml:space="preserve">F-120, F-70</t>
  </si>
  <si>
    <t xml:space="preserve">п. 1 і 5 (унікальність, відсутність перекриття): F-120 («список усіх зареєстрованих моделей із рангом, кількістю голосів і останніми коментарями») повторює F-70 і частину F-10.</t>
  </si>
  <si>
    <t xml:space="preserve">Вилучити F-120 із записом у журналі змін (ID не перенумеровувати); у F-10 залишити посилання на F-70.</t>
  </si>
  <si>
    <t xml:space="preserve">F-90, F-100, GUI-80</t>
  </si>
  <si>
    <t xml:space="preserve">п. 5: заміна форми голосування повідомленням про зарахований голос описана одразу у F-90, F-100 і GUI-80.</t>
  </si>
  <si>
    <t xml:space="preserve">Залишити опис у F-100; у F-90 і GUI-80 дати посилання на F-100.</t>
  </si>
  <si>
    <t xml:space="preserve">F-110</t>
  </si>
  <si>
    <t xml:space="preserve">«автоматично перевіряє достовірність адреси, телефону та віку за державними реєстрами» — залежить від зовнішніх систем, які продукт не контролює, і суперечить обмеженням щодо персональних даних.</t>
  </si>
  <si>
    <t xml:space="preserve">«Система перевіряє формат: «Phone» — «+380» і 9 цифр; «Age» — ціле число від 1 до 120; профіль із некоректним форматом не зберігається.» (межі — потребують підтвердження замовником)</t>
  </si>
  <si>
    <t xml:space="preserve">BL-60</t>
  </si>
  <si>
    <t xml:space="preserve">«розпізнавати запити з друкарськими помилками, транслітерацією та будь-якою мовою світу і повертати саме ту модель, яку мав на увазі користувач» — недосяжно й суперечить пошуку за префіксом у тій самій вимозі.</t>
  </si>
  <si>
    <t xml:space="preserve">Вилучити це речення; залишити «пошук без урахування регістру за префіксом назви марки або моделі».</t>
  </si>
  <si>
    <t xml:space="preserve">P-10</t>
  </si>
  <si>
    <t xml:space="preserve">50 мс для повного завантаження сторінки на мобільному 2G недосяжні: затримка мережі перевищує цей час.</t>
  </si>
  <si>
    <t xml:space="preserve">«Сторінка загального рейтингу завантажується не довше ніж за 3 с на з'єднанні 4G (≥10 Мбіт/с) для каталогу до 1000 моделей.» (потребує підтвердження замовником)</t>
  </si>
  <si>
    <t xml:space="preserve">S-10</t>
  </si>
  <si>
    <t xml:space="preserve">«унеможливити будь-які спроби несанкціонованого доступу» — абсолютна гарантія недосяжна.</t>
  </si>
  <si>
    <t xml:space="preserve">«Після 5 невдалих спроб входу поспіль вхід для цього логіна блокується на 15 хвилин.» (потребує підтвердження замовником)</t>
  </si>
  <si>
    <t xml:space="preserve">F-30</t>
  </si>
  <si>
    <t xml:space="preserve">«пароль є достатньо складним» — немає чисел і умов, неможливо отримати результат «пройдено / не пройдено».</t>
  </si>
  <si>
    <t xml:space="preserve">«Пароль — 8–64 символи, щонайменше одна літера й одна цифра; інакше показується повідомлення «Password does not meet requirements» і обліковий запис не створюється.» (текст повідомлення — потребує підтвердження замовником)</t>
  </si>
  <si>
    <t xml:space="preserve">P-20</t>
  </si>
  <si>
    <t xml:space="preserve">«працювати швидко і без затримок» — немає числа й способу вимірювання.</t>
  </si>
  <si>
    <t xml:space="preserve">«95 % запитів на голосування і перегляд сторінки моделі виконуються за ≤1 с на з'єднанні 4G; вимірюється на demo-стенді.» (потребує підтвердження замовником)</t>
  </si>
  <si>
    <t xml:space="preserve">U-10, GUI-70</t>
  </si>
  <si>
    <t xml:space="preserve">«інтуїтивно зрозумілим для будь-якого користувача» (U-10) і «зручною для заповнення» (GUI-70) — немає критерію «пройдено / не пройдено».</t>
  </si>
  <si>
    <t xml:space="preserve">«Новий користувач без інструкції віддає голос не довше ніж за 3 хв і не більше ніж з 1 помилкою; перевірка на 5 учасниках, критерій — 4 з 5.»</t>
  </si>
  <si>
    <t xml:space="preserve">BL-80</t>
  </si>
  <si>
    <t xml:space="preserve">«Модуль загалом має працювати без помилок за будь-яких вхідних даних» — не дає очікуваного результату й суперечить вступу розділу 5 (null замість колекції — IllegalArgumentException).</t>
  </si>
  <si>
    <t xml:space="preserve">«Для null замість колекції модуль викидає IllegalArgumentException; для решти вхідних даних повертає результат за BL-10…BL-80.»</t>
  </si>
  <si>
    <t xml:space="preserve">Розділ SRS 1.0</t>
  </si>
  <si>
    <t xml:space="preserve">Зміст</t>
  </si>
  <si>
    <t xml:space="preserve">Вимог (рядків)</t>
  </si>
  <si>
    <t xml:space="preserve">Перевіряючий 1</t>
  </si>
  <si>
    <t xml:space="preserve">Перевіряючий 2</t>
  </si>
  <si>
    <t xml:space="preserve">1. Вступ</t>
  </si>
  <si>
    <t xml:space="preserve">1.1 Призначення, 1.2 Обсяг, 1.3 Терміни, 1.4 Посилання</t>
  </si>
  <si>
    <t xml:space="preserve">—</t>
  </si>
  <si>
    <t xml:space="preserve">Не розпочато</t>
  </si>
  <si>
    <t xml:space="preserve">2. Загальний опис</t>
  </si>
  <si>
    <t xml:space="preserve">2.1 Ролі, 2.2 Середовище, 2.3 Обмеження і припущення</t>
  </si>
  <si>
    <t xml:space="preserve">3. Функціональні вимоги</t>
  </si>
  <si>
    <t xml:space="preserve">F-10 … F-140</t>
  </si>
  <si>
    <t xml:space="preserve">4. Вимоги до інтерфейсу</t>
  </si>
  <si>
    <t xml:space="preserve">GUI-10 … GUI-90 (у документі 10 рядків)</t>
  </si>
  <si>
    <t xml:space="preserve">5. Бізнес-логіка модуля</t>
  </si>
  <si>
    <t xml:space="preserve">BL-10 … BL-80</t>
  </si>
  <si>
    <t xml:space="preserve">6. Нефункціональні вимоги</t>
  </si>
  <si>
    <t xml:space="preserve">P-, S-, U-, D- (у документі 9 рядків)</t>
  </si>
  <si>
    <t xml:space="preserve">Розподіл робить Керівник тестування (Рзяніна Валерія). Кожен розділ мають незалежно перевіряти щонайменше двоє; розділи 1–2 теж підлягають аудиту.</t>
  </si>
  <si>
    <t xml:space="preserve">Жовті клітинки — для команди (вибір зі списку). Кількість вимог пораховано вручну за SRS 1.0 (розділи 1–2 вимог із ID не містять).</t>
  </si>
  <si>
    <t xml:space="preserve">Зафіксуйте також строки незалежної перевірки та дату сесії зведення в таблиці задач (task-board.xlsx).</t>
  </si>
  <si>
    <t xml:space="preserve">Рядок реєстру (№ — ID)</t>
  </si>
  <si>
    <t xml:space="preserve">Аргументи</t>
  </si>
  <si>
    <t xml:space="preserve">Рішення</t>
  </si>
  <si>
    <t xml:space="preserve">20 — F-90, F-100, GUI-80</t>
  </si>
  <si>
    <t xml:space="preserve">ПРИКЛАД, замініть власним. Аудитор-опонент: вимоги перекриваються лише одним реченням — підстава для виправлення слабка. Автор: п. 5 чек-листа простежуваності — та сама поведінка описана у трьох місцях; зміна в одному зламає узгодженість.</t>
  </si>
  <si>
    <t xml:space="preserve">Залишити в реєстрі</t>
  </si>
  <si>
    <t xml:space="preserve">16 — GUI-30, U-20</t>
  </si>
  <si>
    <t xml:space="preserve">28 — BL-80</t>
  </si>
  <si>
    <t xml:space="preserve">Сюди Аудитор-опонент («адвокат замовника») виносить рядки реєстру, які викликають сумнів: пункт чек-листа, доказ, що виправлення усуває дефект, і рішення. Необґрунтовані рядки вилучаються з реєстру. Сірий курсивний рядок — приклад формату; жовті клітинки — для команди.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</si>
</sst>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5" min="4" style="0" width="60"/>
    <col collapsed="false" customWidth="true" hidden="false" outlineLevel="0" max="6" min="6" style="0" width="24"/>
    <col collapsed="false" customWidth="true" hidden="false" outlineLevel="0" max="7" min="7" style="0" width="3"/>
    <col collapsed="false" customWidth="true" hidden="false" outlineLevel="0" max="8" min="8" style="0" width="20"/>
    <col collapsed="false" customWidth="true" hidden="false" outlineLevel="0" max="11" min="9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</v>
      </c>
      <c r="I1" s="1" t="s">
        <v>6</v>
      </c>
      <c r="J1" s="1" t="s">
        <v>7</v>
      </c>
      <c r="K1" s="1" t="s">
        <v>8</v>
      </c>
    </row>
    <row r="2" customFormat="false" ht="46.25" hidden="false" customHeight="false" outlineLevel="0" collapsed="false">
      <c r="A2" s="2" t="n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/>
      <c r="H2" s="3" t="s">
        <v>10</v>
      </c>
      <c r="I2" s="2" t="n">
        <f aca="false">COUNTIF($C$2:$C$200,H2)</f>
        <v>3</v>
      </c>
      <c r="J2" s="2" t="n">
        <v>2</v>
      </c>
      <c r="K2" s="2" t="str">
        <f aca="false">IF(I2&gt;=J2,"Ок","Замало")</f>
        <v>Ок</v>
      </c>
    </row>
    <row r="3" customFormat="false" ht="35.05" hidden="false" customHeight="false" outlineLevel="0" collapsed="false">
      <c r="A3" s="2" t="n">
        <v>2</v>
      </c>
      <c r="B3" s="3" t="s">
        <v>13</v>
      </c>
      <c r="C3" s="3" t="s">
        <v>10</v>
      </c>
      <c r="D3" s="3" t="s">
        <v>14</v>
      </c>
      <c r="E3" s="3" t="s">
        <v>15</v>
      </c>
      <c r="F3" s="4"/>
      <c r="H3" s="3" t="s">
        <v>16</v>
      </c>
      <c r="I3" s="2" t="n">
        <f aca="false">COUNTIF($C$2:$C$200,H3)</f>
        <v>7</v>
      </c>
      <c r="J3" s="2" t="n">
        <v>2</v>
      </c>
      <c r="K3" s="2" t="str">
        <f aca="false">IF(I3&gt;=J3,"Ок","Замало")</f>
        <v>Ок</v>
      </c>
    </row>
    <row r="4" customFormat="false" ht="46.25" hidden="false" customHeight="false" outlineLevel="0" collapsed="false">
      <c r="A4" s="2" t="n">
        <v>3</v>
      </c>
      <c r="B4" s="3" t="s">
        <v>17</v>
      </c>
      <c r="C4" s="3" t="s">
        <v>10</v>
      </c>
      <c r="D4" s="3" t="s">
        <v>18</v>
      </c>
      <c r="E4" s="3" t="s">
        <v>19</v>
      </c>
      <c r="F4" s="4"/>
      <c r="H4" s="3" t="s">
        <v>20</v>
      </c>
      <c r="I4" s="2" t="n">
        <f aca="false">COUNTIF($C$2:$C$200,H4)</f>
        <v>6</v>
      </c>
      <c r="J4" s="2" t="n">
        <v>2</v>
      </c>
      <c r="K4" s="2" t="str">
        <f aca="false">IF(I4&gt;=J4,"Ок","Замало")</f>
        <v>Ок</v>
      </c>
    </row>
    <row r="5" customFormat="false" ht="46.25" hidden="false" customHeight="false" outlineLevel="0" collapsed="false">
      <c r="A5" s="2" t="n">
        <v>4</v>
      </c>
      <c r="B5" s="3" t="s">
        <v>21</v>
      </c>
      <c r="C5" s="3" t="s">
        <v>16</v>
      </c>
      <c r="D5" s="3" t="s">
        <v>22</v>
      </c>
      <c r="E5" s="3" t="s">
        <v>23</v>
      </c>
      <c r="F5" s="4"/>
      <c r="H5" s="3" t="s">
        <v>24</v>
      </c>
      <c r="I5" s="2" t="n">
        <f aca="false">COUNTIF($C$2:$C$200,H5)</f>
        <v>4</v>
      </c>
      <c r="J5" s="2" t="n">
        <v>2</v>
      </c>
      <c r="K5" s="2" t="str">
        <f aca="false">IF(I5&gt;=J5,"Ок","Замало")</f>
        <v>Ок</v>
      </c>
    </row>
    <row r="6" customFormat="false" ht="23.85" hidden="false" customHeight="false" outlineLevel="0" collapsed="false">
      <c r="A6" s="2" t="n">
        <v>5</v>
      </c>
      <c r="B6" s="3" t="s">
        <v>25</v>
      </c>
      <c r="C6" s="3" t="s">
        <v>16</v>
      </c>
      <c r="D6" s="3" t="s">
        <v>26</v>
      </c>
      <c r="E6" s="3" t="s">
        <v>27</v>
      </c>
      <c r="F6" s="4"/>
      <c r="H6" s="3" t="s">
        <v>28</v>
      </c>
      <c r="I6" s="2" t="n">
        <f aca="false">COUNTIF($C$2:$C$200,H6)</f>
        <v>4</v>
      </c>
      <c r="J6" s="2" t="n">
        <v>2</v>
      </c>
      <c r="K6" s="2" t="str">
        <f aca="false">IF(I6&gt;=J6,"Ок","Замало")</f>
        <v>Ок</v>
      </c>
    </row>
    <row r="7" customFormat="false" ht="35.05" hidden="false" customHeight="false" outlineLevel="0" collapsed="false">
      <c r="A7" s="2" t="n">
        <v>6</v>
      </c>
      <c r="B7" s="3" t="s">
        <v>29</v>
      </c>
      <c r="C7" s="3" t="s">
        <v>16</v>
      </c>
      <c r="D7" s="3" t="s">
        <v>30</v>
      </c>
      <c r="E7" s="3" t="s">
        <v>31</v>
      </c>
      <c r="F7" s="4"/>
      <c r="H7" s="3" t="s">
        <v>32</v>
      </c>
      <c r="I7" s="2" t="n">
        <f aca="false">COUNTIF($C$2:$C$200,H7)</f>
        <v>4</v>
      </c>
      <c r="J7" s="2" t="n">
        <v>2</v>
      </c>
      <c r="K7" s="2" t="str">
        <f aca="false">IF(I7&gt;=J7,"Ок","Замало")</f>
        <v>Ок</v>
      </c>
    </row>
    <row r="8" customFormat="false" ht="35.05" hidden="false" customHeight="false" outlineLevel="0" collapsed="false">
      <c r="A8" s="2" t="n">
        <v>7</v>
      </c>
      <c r="B8" s="3" t="s">
        <v>33</v>
      </c>
      <c r="C8" s="3" t="s">
        <v>16</v>
      </c>
      <c r="D8" s="3" t="s">
        <v>34</v>
      </c>
      <c r="E8" s="3" t="s">
        <v>35</v>
      </c>
      <c r="F8" s="4"/>
      <c r="H8" s="5" t="s">
        <v>36</v>
      </c>
      <c r="I8" s="6" t="n">
        <f aca="false">SUM(I2:I7)</f>
        <v>28</v>
      </c>
      <c r="J8" s="6" t="n">
        <v>20</v>
      </c>
      <c r="K8" s="6" t="str">
        <f aca="false">IF(I8&gt;=J8,"Ок","Замало")</f>
        <v>Ок</v>
      </c>
    </row>
    <row r="9" customFormat="false" ht="23.85" hidden="false" customHeight="false" outlineLevel="0" collapsed="false">
      <c r="A9" s="2" t="n">
        <v>8</v>
      </c>
      <c r="B9" s="3" t="s">
        <v>37</v>
      </c>
      <c r="C9" s="3" t="s">
        <v>16</v>
      </c>
      <c r="D9" s="3" t="s">
        <v>38</v>
      </c>
      <c r="E9" s="3" t="s">
        <v>39</v>
      </c>
      <c r="F9" s="4"/>
    </row>
    <row r="10" customFormat="false" ht="51.75" hidden="false" customHeight="true" outlineLevel="0" collapsed="false">
      <c r="A10" s="2" t="n">
        <v>9</v>
      </c>
      <c r="B10" s="3" t="s">
        <v>40</v>
      </c>
      <c r="C10" s="3" t="s">
        <v>16</v>
      </c>
      <c r="D10" s="3" t="s">
        <v>41</v>
      </c>
      <c r="E10" s="3" t="s">
        <v>42</v>
      </c>
      <c r="F10" s="4"/>
      <c r="H10" s="7" t="s">
        <v>43</v>
      </c>
      <c r="I10" s="7"/>
      <c r="J10" s="7"/>
      <c r="K10" s="7"/>
    </row>
    <row r="11" customFormat="false" ht="51.75" hidden="false" customHeight="true" outlineLevel="0" collapsed="false">
      <c r="A11" s="2" t="n">
        <v>10</v>
      </c>
      <c r="B11" s="3" t="s">
        <v>44</v>
      </c>
      <c r="C11" s="3" t="s">
        <v>16</v>
      </c>
      <c r="D11" s="3" t="s">
        <v>45</v>
      </c>
      <c r="E11" s="3" t="s">
        <v>46</v>
      </c>
      <c r="F11" s="4"/>
      <c r="H11" s="7" t="s">
        <v>47</v>
      </c>
      <c r="I11" s="7"/>
      <c r="J11" s="7"/>
      <c r="K11" s="7"/>
    </row>
    <row r="12" customFormat="false" ht="51.75" hidden="false" customHeight="true" outlineLevel="0" collapsed="false">
      <c r="A12" s="2" t="n">
        <v>11</v>
      </c>
      <c r="B12" s="3" t="s">
        <v>48</v>
      </c>
      <c r="C12" s="3" t="s">
        <v>20</v>
      </c>
      <c r="D12" s="3" t="s">
        <v>49</v>
      </c>
      <c r="E12" s="3" t="s">
        <v>50</v>
      </c>
      <c r="F12" s="4"/>
      <c r="H12" s="7" t="s">
        <v>51</v>
      </c>
      <c r="I12" s="7"/>
      <c r="J12" s="7"/>
      <c r="K12" s="7"/>
    </row>
    <row r="13" customFormat="false" ht="35.05" hidden="false" customHeight="false" outlineLevel="0" collapsed="false">
      <c r="A13" s="2" t="n">
        <v>12</v>
      </c>
      <c r="B13" s="3" t="s">
        <v>52</v>
      </c>
      <c r="C13" s="3" t="s">
        <v>20</v>
      </c>
      <c r="D13" s="3" t="s">
        <v>53</v>
      </c>
      <c r="E13" s="3" t="s">
        <v>54</v>
      </c>
      <c r="F13" s="4"/>
    </row>
    <row r="14" customFormat="false" ht="23.85" hidden="false" customHeight="false" outlineLevel="0" collapsed="false">
      <c r="A14" s="2" t="n">
        <v>13</v>
      </c>
      <c r="B14" s="3" t="s">
        <v>55</v>
      </c>
      <c r="C14" s="3" t="s">
        <v>20</v>
      </c>
      <c r="D14" s="3" t="s">
        <v>56</v>
      </c>
      <c r="E14" s="3" t="s">
        <v>57</v>
      </c>
      <c r="F14" s="4"/>
    </row>
    <row r="15" customFormat="false" ht="23.85" hidden="false" customHeight="false" outlineLevel="0" collapsed="false">
      <c r="A15" s="2" t="n">
        <v>14</v>
      </c>
      <c r="B15" s="3" t="s">
        <v>58</v>
      </c>
      <c r="C15" s="3" t="s">
        <v>20</v>
      </c>
      <c r="D15" s="3" t="s">
        <v>59</v>
      </c>
      <c r="E15" s="3" t="s">
        <v>60</v>
      </c>
      <c r="F15" s="4"/>
    </row>
    <row r="16" customFormat="false" ht="35.05" hidden="false" customHeight="false" outlineLevel="0" collapsed="false">
      <c r="A16" s="2" t="n">
        <v>15</v>
      </c>
      <c r="B16" s="3" t="s">
        <v>61</v>
      </c>
      <c r="C16" s="3" t="s">
        <v>20</v>
      </c>
      <c r="D16" s="3" t="s">
        <v>62</v>
      </c>
      <c r="E16" s="3" t="s">
        <v>63</v>
      </c>
      <c r="F16" s="4"/>
    </row>
    <row r="17" customFormat="false" ht="35.05" hidden="false" customHeight="false" outlineLevel="0" collapsed="false">
      <c r="A17" s="2" t="n">
        <v>16</v>
      </c>
      <c r="B17" s="3" t="s">
        <v>64</v>
      </c>
      <c r="C17" s="3" t="s">
        <v>20</v>
      </c>
      <c r="D17" s="3" t="s">
        <v>65</v>
      </c>
      <c r="E17" s="3" t="s">
        <v>66</v>
      </c>
      <c r="F17" s="4"/>
    </row>
    <row r="18" customFormat="false" ht="23.85" hidden="false" customHeight="false" outlineLevel="0" collapsed="false">
      <c r="A18" s="2" t="n">
        <v>17</v>
      </c>
      <c r="B18" s="3" t="s">
        <v>67</v>
      </c>
      <c r="C18" s="3" t="s">
        <v>24</v>
      </c>
      <c r="D18" s="3" t="s">
        <v>68</v>
      </c>
      <c r="E18" s="3" t="s">
        <v>69</v>
      </c>
      <c r="F18" s="4"/>
    </row>
    <row r="19" customFormat="false" ht="23.85" hidden="false" customHeight="false" outlineLevel="0" collapsed="false">
      <c r="A19" s="2" t="n">
        <v>18</v>
      </c>
      <c r="B19" s="3" t="s">
        <v>70</v>
      </c>
      <c r="C19" s="3" t="s">
        <v>24</v>
      </c>
      <c r="D19" s="3" t="s">
        <v>71</v>
      </c>
      <c r="E19" s="3" t="s">
        <v>72</v>
      </c>
      <c r="F19" s="4"/>
    </row>
    <row r="20" customFormat="false" ht="35.05" hidden="false" customHeight="false" outlineLevel="0" collapsed="false">
      <c r="A20" s="2" t="n">
        <v>19</v>
      </c>
      <c r="B20" s="3" t="s">
        <v>73</v>
      </c>
      <c r="C20" s="3" t="s">
        <v>24</v>
      </c>
      <c r="D20" s="3" t="s">
        <v>74</v>
      </c>
      <c r="E20" s="3" t="s">
        <v>75</v>
      </c>
      <c r="F20" s="4"/>
    </row>
    <row r="21" customFormat="false" ht="23.85" hidden="false" customHeight="false" outlineLevel="0" collapsed="false">
      <c r="A21" s="2" t="n">
        <v>20</v>
      </c>
      <c r="B21" s="3" t="s">
        <v>76</v>
      </c>
      <c r="C21" s="3" t="s">
        <v>24</v>
      </c>
      <c r="D21" s="3" t="s">
        <v>77</v>
      </c>
      <c r="E21" s="3" t="s">
        <v>78</v>
      </c>
      <c r="F21" s="4"/>
    </row>
    <row r="22" customFormat="false" ht="46.25" hidden="false" customHeight="false" outlineLevel="0" collapsed="false">
      <c r="A22" s="2" t="n">
        <v>21</v>
      </c>
      <c r="B22" s="3" t="s">
        <v>79</v>
      </c>
      <c r="C22" s="3" t="s">
        <v>28</v>
      </c>
      <c r="D22" s="3" t="s">
        <v>80</v>
      </c>
      <c r="E22" s="3" t="s">
        <v>81</v>
      </c>
      <c r="F22" s="4"/>
    </row>
    <row r="23" customFormat="false" ht="46.25" hidden="false" customHeight="false" outlineLevel="0" collapsed="false">
      <c r="A23" s="2" t="n">
        <v>22</v>
      </c>
      <c r="B23" s="3" t="s">
        <v>82</v>
      </c>
      <c r="C23" s="3" t="s">
        <v>28</v>
      </c>
      <c r="D23" s="3" t="s">
        <v>83</v>
      </c>
      <c r="E23" s="3" t="s">
        <v>84</v>
      </c>
      <c r="F23" s="4"/>
    </row>
    <row r="24" customFormat="false" ht="35.05" hidden="false" customHeight="false" outlineLevel="0" collapsed="false">
      <c r="A24" s="2" t="n">
        <v>23</v>
      </c>
      <c r="B24" s="3" t="s">
        <v>85</v>
      </c>
      <c r="C24" s="3" t="s">
        <v>28</v>
      </c>
      <c r="D24" s="3" t="s">
        <v>86</v>
      </c>
      <c r="E24" s="3" t="s">
        <v>87</v>
      </c>
      <c r="F24" s="4"/>
    </row>
    <row r="25" customFormat="false" ht="23.85" hidden="false" customHeight="false" outlineLevel="0" collapsed="false">
      <c r="A25" s="2" t="n">
        <v>24</v>
      </c>
      <c r="B25" s="3" t="s">
        <v>88</v>
      </c>
      <c r="C25" s="3" t="s">
        <v>28</v>
      </c>
      <c r="D25" s="3" t="s">
        <v>89</v>
      </c>
      <c r="E25" s="3" t="s">
        <v>90</v>
      </c>
      <c r="F25" s="4"/>
    </row>
    <row r="26" customFormat="false" ht="46.25" hidden="false" customHeight="false" outlineLevel="0" collapsed="false">
      <c r="A26" s="2" t="n">
        <v>25</v>
      </c>
      <c r="B26" s="3" t="s">
        <v>91</v>
      </c>
      <c r="C26" s="3" t="s">
        <v>32</v>
      </c>
      <c r="D26" s="3" t="s">
        <v>92</v>
      </c>
      <c r="E26" s="3" t="s">
        <v>93</v>
      </c>
      <c r="F26" s="4"/>
    </row>
    <row r="27" customFormat="false" ht="35.05" hidden="false" customHeight="false" outlineLevel="0" collapsed="false">
      <c r="A27" s="2" t="n">
        <v>26</v>
      </c>
      <c r="B27" s="3" t="s">
        <v>94</v>
      </c>
      <c r="C27" s="3" t="s">
        <v>32</v>
      </c>
      <c r="D27" s="3" t="s">
        <v>95</v>
      </c>
      <c r="E27" s="3" t="s">
        <v>96</v>
      </c>
      <c r="F27" s="4"/>
    </row>
    <row r="28" customFormat="false" ht="35.05" hidden="false" customHeight="false" outlineLevel="0" collapsed="false">
      <c r="A28" s="2" t="n">
        <v>27</v>
      </c>
      <c r="B28" s="3" t="s">
        <v>97</v>
      </c>
      <c r="C28" s="3" t="s">
        <v>32</v>
      </c>
      <c r="D28" s="3" t="s">
        <v>98</v>
      </c>
      <c r="E28" s="3" t="s">
        <v>99</v>
      </c>
      <c r="F28" s="4"/>
    </row>
    <row r="29" customFormat="false" ht="35.05" hidden="false" customHeight="false" outlineLevel="0" collapsed="false">
      <c r="A29" s="2" t="n">
        <v>28</v>
      </c>
      <c r="B29" s="3" t="s">
        <v>100</v>
      </c>
      <c r="C29" s="3" t="s">
        <v>32</v>
      </c>
      <c r="D29" s="3" t="s">
        <v>101</v>
      </c>
      <c r="E29" s="3" t="s">
        <v>102</v>
      </c>
      <c r="F29" s="4"/>
    </row>
  </sheetData>
  <autoFilter ref="A1:F29"/>
  <mergeCells count="3">
    <mergeCell ref="H10:K10"/>
    <mergeCell ref="H11:K11"/>
    <mergeCell ref="H12:K12"/>
  </mergeCells>
  <dataValidations count="1">
    <dataValidation allowBlank="true" error="Оберіть один із шести критеріїв зі списку." errorStyle="stop" errorTitle="Невірний критерій" operator="between" showDropDown="false" showErrorMessage="false" showInputMessage="false" sqref="C2:C200" type="list">
      <formula1>"Однозначність,Повнота,Несуперечливість,Простежуваність,Здійсненність,Тестопридатність"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8</v>
      </c>
    </row>
    <row r="2" customFormat="false" ht="15" hidden="false" customHeight="false" outlineLevel="0" collapsed="false">
      <c r="A2" s="3" t="s">
        <v>108</v>
      </c>
      <c r="B2" s="3" t="s">
        <v>109</v>
      </c>
      <c r="C2" s="2" t="s">
        <v>110</v>
      </c>
      <c r="D2" s="4"/>
      <c r="E2" s="4"/>
      <c r="F2" s="4" t="s">
        <v>111</v>
      </c>
    </row>
    <row r="3" customFormat="false" ht="15" hidden="false" customHeight="false" outlineLevel="0" collapsed="false">
      <c r="A3" s="3" t="s">
        <v>112</v>
      </c>
      <c r="B3" s="3" t="s">
        <v>113</v>
      </c>
      <c r="C3" s="2" t="s">
        <v>110</v>
      </c>
      <c r="D3" s="4"/>
      <c r="E3" s="4"/>
      <c r="F3" s="4" t="s">
        <v>111</v>
      </c>
    </row>
    <row r="4" customFormat="false" ht="15" hidden="false" customHeight="false" outlineLevel="0" collapsed="false">
      <c r="A4" s="3" t="s">
        <v>114</v>
      </c>
      <c r="B4" s="3" t="s">
        <v>115</v>
      </c>
      <c r="C4" s="2" t="n">
        <v>14</v>
      </c>
      <c r="D4" s="4"/>
      <c r="E4" s="4"/>
      <c r="F4" s="4" t="s">
        <v>111</v>
      </c>
    </row>
    <row r="5" customFormat="false" ht="15" hidden="false" customHeight="false" outlineLevel="0" collapsed="false">
      <c r="A5" s="3" t="s">
        <v>116</v>
      </c>
      <c r="B5" s="3" t="s">
        <v>117</v>
      </c>
      <c r="C5" s="2" t="n">
        <v>10</v>
      </c>
      <c r="D5" s="4"/>
      <c r="E5" s="4"/>
      <c r="F5" s="4" t="s">
        <v>111</v>
      </c>
    </row>
    <row r="6" customFormat="false" ht="15" hidden="false" customHeight="false" outlineLevel="0" collapsed="false">
      <c r="A6" s="3" t="s">
        <v>118</v>
      </c>
      <c r="B6" s="3" t="s">
        <v>119</v>
      </c>
      <c r="C6" s="2" t="n">
        <v>8</v>
      </c>
      <c r="D6" s="4"/>
      <c r="E6" s="4"/>
      <c r="F6" s="4" t="s">
        <v>111</v>
      </c>
    </row>
    <row r="7" customFormat="false" ht="15" hidden="false" customHeight="false" outlineLevel="0" collapsed="false">
      <c r="A7" s="3" t="s">
        <v>120</v>
      </c>
      <c r="B7" s="3" t="s">
        <v>121</v>
      </c>
      <c r="C7" s="2" t="n">
        <v>9</v>
      </c>
      <c r="D7" s="4"/>
      <c r="E7" s="4"/>
      <c r="F7" s="4" t="s">
        <v>111</v>
      </c>
    </row>
    <row r="9" customFormat="false" ht="30" hidden="false" customHeight="true" outlineLevel="0" collapsed="false">
      <c r="A9" s="7" t="s">
        <v>122</v>
      </c>
      <c r="B9" s="7"/>
      <c r="C9" s="7"/>
      <c r="D9" s="7"/>
      <c r="E9" s="7"/>
      <c r="F9" s="7"/>
    </row>
    <row r="10" customFormat="false" ht="30" hidden="false" customHeight="true" outlineLevel="0" collapsed="false">
      <c r="A10" s="7" t="s">
        <v>123</v>
      </c>
      <c r="B10" s="7"/>
      <c r="C10" s="7"/>
      <c r="D10" s="7"/>
      <c r="E10" s="7"/>
      <c r="F10" s="7"/>
    </row>
    <row r="11" customFormat="false" ht="30" hidden="false" customHeight="true" outlineLevel="0" collapsed="false">
      <c r="A11" s="7" t="s">
        <v>124</v>
      </c>
      <c r="B11" s="7"/>
      <c r="C11" s="7"/>
      <c r="D11" s="7"/>
      <c r="E11" s="7"/>
      <c r="F11" s="7"/>
    </row>
  </sheetData>
  <mergeCells count="3">
    <mergeCell ref="A9:F9"/>
    <mergeCell ref="A10:F10"/>
    <mergeCell ref="A11:F11"/>
  </mergeCells>
  <dataValidations count="2">
    <dataValidation allowBlank="true" errorStyle="stop" operator="between" showDropDown="false" showErrorMessage="false" showInputMessage="false" sqref="D2:E7" type="list">
      <formula1>"Баришполь Іван,Куценко Дар'я,Рзяніна Валерія,Сушинський Микола,Потеряйло Вероніка"</formula1>
      <formula2>0</formula2>
    </dataValidation>
    <dataValidation allowBlank="true" errorStyle="stop" operator="between" showDropDown="false" showErrorMessage="false" showInputMessage="false" sqref="F2:F7" type="list">
      <formula1>"Не розпочато,Перевіряється,Завершено"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125</v>
      </c>
      <c r="B1" s="1" t="s">
        <v>126</v>
      </c>
      <c r="C1" s="1" t="s">
        <v>127</v>
      </c>
    </row>
    <row r="2" customFormat="false" ht="35.05" hidden="false" customHeight="false" outlineLevel="0" collapsed="false">
      <c r="A2" s="8" t="s">
        <v>128</v>
      </c>
      <c r="B2" s="8" t="s">
        <v>129</v>
      </c>
      <c r="C2" s="8" t="s">
        <v>130</v>
      </c>
    </row>
    <row r="3" customFormat="false" ht="15" hidden="false" customHeight="false" outlineLevel="0" collapsed="false">
      <c r="A3" s="3" t="s">
        <v>131</v>
      </c>
      <c r="B3" s="4"/>
      <c r="C3" s="4"/>
    </row>
    <row r="4" customFormat="false" ht="15" hidden="false" customHeight="false" outlineLevel="0" collapsed="false">
      <c r="A4" s="3" t="s">
        <v>132</v>
      </c>
      <c r="B4" s="4"/>
      <c r="C4" s="4"/>
    </row>
    <row r="9" customFormat="false" ht="43.5" hidden="false" customHeight="true" outlineLevel="0" collapsed="false">
      <c r="A9" s="7" t="s">
        <v>133</v>
      </c>
      <c r="B9" s="7"/>
      <c r="C9" s="7"/>
    </row>
  </sheetData>
  <mergeCells count="1">
    <mergeCell ref="A9:C9"/>
  </mergeCells>
  <dataValidations count="1">
    <dataValidation allowBlank="true" errorStyle="stop" operator="between" showDropDown="false" showErrorMessage="false" showInputMessage="false" sqref="C2:C100" type="list">
      <formula1>"Залишити в реєстрі,Вилучити з реєстру,Переформулювати,Потребує підтвердження замовником"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2026-10-15T14:55:12Z</dcterms:created>
  <dc:creator>openpyxl</dc:creator>
  <dc:description/>
  <dc:language>en-US</dc:language>
  <cp:lastModifiedBy/>
  <dcterms:modified xsi:type="dcterms:W3CDTF">2026-10-15T14:55:12Z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